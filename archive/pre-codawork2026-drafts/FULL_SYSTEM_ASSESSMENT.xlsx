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ll System Assessment" sheetId="1" state="visible" r:id="rId3"/>
    <sheet name="Geometric Expansion" sheetId="2" state="visible" r:id="rId4"/>
    <sheet name="Action Priorit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<sst xmlns="http://schemas.openxmlformats.org/spreadsheetml/2006/main" count="338" uniqueCount="289">
  <si>
    <t xml:space="preserve">HUF FULL SYSTEM ASSESSMENT — After Complete Corpus Scrape</t>
  </si>
  <si>
    <t xml:space="preserve">April 5, 2026 · 302 files · 14 sessions · 6 AI systems · 1 engineer · 0 peer reviews</t>
  </si>
  <si>
    <t xml:space="preserve">WHAT WORKS (genuinely)</t>
  </si>
  <si>
    <t xml:space="preserve">#</t>
  </si>
  <si>
    <t xml:space="preserve">Finding</t>
  </si>
  <si>
    <t xml:space="preserve">Status</t>
  </si>
  <si>
    <t xml:space="preserve">Evidence</t>
  </si>
  <si>
    <t xml:space="preserve">Commentary</t>
  </si>
  <si>
    <t xml:space="preserve">Confidence</t>
  </si>
  <si>
    <t xml:space="preserve">W-01</t>
  </si>
  <si>
    <t xml:space="preserve">Architecture self-consistency</t>
  </si>
  <si>
    <t xml:space="preserve">CONFIRMED</t>
  </si>
  <si>
    <t xml:space="preserve">GOV/CLS fork, open-loop, paired measurement, coherence chain, error catalogue, governance declaration — every piece connects without contradiction. 14 sessions, 6 AI systems, no structural incoherence found.</t>
  </si>
  <si>
    <t xml:space="preserve">This is the strongest result. Self-consistency across 302 files and multiple reviewers is evidence of real structure, not projected pattern.</t>
  </si>
  <si>
    <t xml:space="preserve">HIGH</t>
  </si>
  <si>
    <t xml:space="preserve">W-02</t>
  </si>
  <si>
    <t xml:space="preserve">Geometric expansion is real</t>
  </si>
  <si>
    <t xml:space="preserve">Ternary (3-carrier) → tetrahedron (4-carrier BTL) → polytope (9-carrier EMBER) → polytope network (Ramsar). Each stage decomposes into binary balances. SBP is the crossover network generalised.</t>
  </si>
  <si>
    <t xml:space="preserve">The progression from loudspeaker crossover to polytope network is mathematically genuine, not metaphorical. Each stage uses the same 1→2 decomposition.</t>
  </si>
  <si>
    <t xml:space="preserve">W-03</t>
  </si>
  <si>
    <t xml:space="preserve">Q-inquisitor has published precedent</t>
  </si>
  <si>
    <t xml:space="preserve">Small's 1972 Q parameters are real engineering. CR/Aitchison IS a Q parameter — dimensionless ratio measuring coupling quality at boundaries. The parallel is structural, not analogical.</t>
  </si>
  <si>
    <t xml:space="preserve">This is perhaps HUF's most defensible theoretical contribution. The Small→Aitchison bridge is exact mathematics, not hand-waving.</t>
  </si>
  <si>
    <t xml:space="preserve">W-04</t>
  </si>
  <si>
    <t xml:space="preserve">Error catalogue is honest</t>
  </si>
  <si>
    <t xml:space="preserve">25 error sources (E-01–E-17, ES-01–ES-06, E-18/E-19 future). Each with detection test and governance action. No comparable CoDa tool ships with failure modes.</t>
  </si>
  <si>
    <t xml:space="preserve">The catalogue IS the engineering discipline. No other compositional tool publishes its own calibration study. This is what Coimbra should see first.</t>
  </si>
  <si>
    <t xml:space="preserve">W-05</t>
  </si>
  <si>
    <t xml:space="preserve">CMSI makes ambition measurable</t>
  </si>
  <si>
    <t xml:space="preserve">CMSI 1.68 (current) → 6.78 (full Ramsar) → 8.0 (Kardashev V). Gap: 6.3 orders of magnitude. Steps defined. Target exists before the shot.</t>
  </si>
  <si>
    <t xml:space="preserve">Before CMSI, "Ramsar deployment" was vague. Now it is 5.1 orders of magnitude from here. The target is honest.</t>
  </si>
  <si>
    <t xml:space="preserve">MEDIUM</t>
  </si>
  <si>
    <t xml:space="preserve">WHAT'S MISSING (critically)</t>
  </si>
  <si>
    <t xml:space="preserve">M-01</t>
  </si>
  <si>
    <t xml:space="preserve">No real data beyond EMBER</t>
  </si>
  <si>
    <t xml:space="preserve">CRITICAL</t>
  </si>
  <si>
    <t xml:space="preserve">Entire framework validated on ONE dataset with known events (Fukushima, German nuclear exit, UK coal collapse). That is n=1 on one domain. Backblaze not run. No ecological data processed.</t>
  </si>
  <si>
    <t xml:space="preserve">EMBER is a controlled demonstration, not a validation. Known events are the easiest case. The instrument has never been surprised by real data.</t>
  </si>
  <si>
    <t xml:space="preserve">ZERO validation beyond demo</t>
  </si>
  <si>
    <t xml:space="preserve">M-02</t>
  </si>
  <si>
    <t xml:space="preserve">Coherence residual is pure theory</t>
  </si>
  <si>
    <t xml:space="preserve">THE_THIRD_DIAGNOSTIC.md is conceptually strong. It has NEVER been computed on any dataset. Four agreement patterns are predictions. Egozcue-Greenacre test is a proposal. Zero empirical results.</t>
  </si>
  <si>
    <t xml:space="preserve">This is the single biggest gap. The third diagnostic is the bridge to n=3 confidence and the entire Ramsar early warning proposition. It exists only on paper.</t>
  </si>
  <si>
    <t xml:space="preserve">ZERO computations</t>
  </si>
  <si>
    <t xml:space="preserve">M-03</t>
  </si>
  <si>
    <t xml:space="preserve">3^n independence unverified</t>
  </si>
  <si>
    <t xml:space="preserve">Claim that TV, Aitchison, CR are independent is architectural not empirical. No formal independence analysis. No meta-Q-parameter. The entire confidence framework rests on an untested assumption.</t>
  </si>
  <si>
    <t xml:space="preserve">If the diagnostics are correlated, the confidence framework collapses. n=3 becomes n=1.5 or worse. This MUST be tested before Coimbra claims are made.</t>
  </si>
  <si>
    <t xml:space="preserve">ZERO tests</t>
  </si>
  <si>
    <t xml:space="preserve">M-04</t>
  </si>
  <si>
    <t xml:space="preserve">No human domain expert review</t>
  </si>
  <si>
    <t xml:space="preserve">Six AI systems and one engineer. Zero ecologists. Zero statisticians. Zero wetland managers. Coimbra will be the FIRST human expert review.</t>
  </si>
  <si>
    <t xml:space="preserve">The AI collective may be an adversarial verification network — or a correlated echo chamber. Only human experts can determine which. This is KU-06.</t>
  </si>
  <si>
    <t xml:space="preserve">ZERO reviews</t>
  </si>
  <si>
    <t xml:space="preserve">M-05</t>
  </si>
  <si>
    <t xml:space="preserve">CMSI itself is at n=0</t>
  </si>
  <si>
    <t xml:space="preserve">SERIOUS</t>
  </si>
  <si>
    <t xml:space="preserve">The index is an assertion, not even an opinion (n=1 requires 3 independent checks). It has not been tested to see if levels produce meaningful thresholds.</t>
  </si>
  <si>
    <t xml:space="preserve">We defined the bullseye but have not verified the target is on the right wall. The first real test: does crossing CMSI 2 with Backblaze feel like a step change?</t>
  </si>
  <si>
    <t xml:space="preserve">UNTESTED</t>
  </si>
  <si>
    <t xml:space="preserve">WHAT MIGHT BE WRONG (the misses to count)</t>
  </si>
  <si>
    <t xml:space="preserve">X-01</t>
  </si>
  <si>
    <t xml:space="preserve">Ecological data may not be compositional</t>
  </si>
  <si>
    <t xml:space="preserve">FOUNDATIONAL</t>
  </si>
  <si>
    <t xml:space="preserve">KU-01 + GAP-01. Species abundances converted to proportions discards the total. CoDa says total is uninformative (survey effort). Ecology says total may be informative (carrying capacity). Unresolved.</t>
  </si>
  <si>
    <t xml:space="preserve">If relative abundances do not carry the ecological signal, the ENTIRE framework measures an artefact. This is not a fixable error — it is a question about whether the instrument applies to ecology at all.</t>
  </si>
  <si>
    <t xml:space="preserve">UNRESOLVED</t>
  </si>
  <si>
    <t xml:space="preserve">X-02</t>
  </si>
  <si>
    <t xml:space="preserve">Telescope may not survive 80% zeros</t>
  </si>
  <si>
    <t xml:space="preserve">STRUCTURAL</t>
  </si>
  <si>
    <t xml:space="preserve">GAP-02. A 500-species wetland where 400 species are absent is not S⁴⁹⁹ — it is S⁹⁹ with 400 phantom dimensions. SBP may produce meaningless balances between groups that are mostly zeros.</t>
  </si>
  <si>
    <t xml:space="preserve">SCALING_COHERENCE.md solves 9 mathematical problems. It does NOT solve the zero-prevalence problem at ecological scale. The interaction between telescoping and massive zeros is unanalysed.</t>
  </si>
  <si>
    <t xml:space="preserve">X-03</t>
  </si>
  <si>
    <t xml:space="preserve">SBP design problem may be intractable</t>
  </si>
  <si>
    <t xml:space="preserve">GAP-04. Loudspeaker crossover is dictated by physics. Wetland SBP is dictated by... whom? Different ecologists partition differently. If SBP is analyst-dependent, CR measures the analyst's choices, not the ecosystem.</t>
  </si>
  <si>
    <t xml:space="preserve">This may be the hardest problem in the entire framework. If solved, it unlocks everything. If intractable, the coherence residual is meaningless for ecology.</t>
  </si>
  <si>
    <t xml:space="preserve">X-04</t>
  </si>
  <si>
    <t xml:space="preserve">AI collective may be correlated</t>
  </si>
  <si>
    <t xml:space="preserve">METHODOLOGICAL</t>
  </si>
  <si>
    <t xml:space="preserve">KU-06. Six LLMs converging could indicate robustness or shared bias. Tendency to validate the user's framework is documented in all LLMs. Collective has never been audited for correlated sycophancy.</t>
  </si>
  <si>
    <t xml:space="preserve">The collective review process (gold/rough diamonds/tailings) is well-designed. But the process cannot overcome the possibility that all reviewers share the same blind spot. Only human review can test this.</t>
  </si>
  <si>
    <t xml:space="preserve">UNAUDITED</t>
  </si>
  <si>
    <t xml:space="preserve">X-05</t>
  </si>
  <si>
    <t xml:space="preserve">Screwdriver framing may not survive Coimbra</t>
  </si>
  <si>
    <t xml:space="preserve">STRATEGIC</t>
  </si>
  <si>
    <t xml:space="preserve">D-04. An engineer telling mathematicians their work is incomplete needs exactly the right tone. White flag helps. Documentation helps. But the room decides in 60 seconds.</t>
  </si>
  <si>
    <t xml:space="preserve">This is not a technical risk — it is a social risk. The framework may be correct and still be rejected because the messenger is wrong for the audience. Coimbra is the test.</t>
  </si>
  <si>
    <t xml:space="preserve">THE ZEROS THAT MATTER — What has literally never been done</t>
  </si>
  <si>
    <t xml:space="preserve">Item</t>
  </si>
  <si>
    <t xml:space="preserve">Count</t>
  </si>
  <si>
    <t xml:space="preserve">Why It Matters</t>
  </si>
  <si>
    <t xml:space="preserve">What Would Change It</t>
  </si>
  <si>
    <t xml:space="preserve">Priority</t>
  </si>
  <si>
    <t xml:space="preserve">Z-01</t>
  </si>
  <si>
    <t xml:space="preserve">Ecologists consulted</t>
  </si>
  <si>
    <t xml:space="preserve">0</t>
  </si>
  <si>
    <t xml:space="preserve">The instrument claims to serve ecology. No ecologist has ever seen it. Every ecological claim is an engineer's projection.</t>
  </si>
  <si>
    <t xml:space="preserve">ONE conversation with a wetland ecologist before Coimbra would change the quality of every ecological claim in the corpus.</t>
  </si>
  <si>
    <t xml:space="preserve">URGENT</t>
  </si>
  <si>
    <t xml:space="preserve">Z-02</t>
  </si>
  <si>
    <t xml:space="preserve">Peer reviews completed</t>
  </si>
  <si>
    <t xml:space="preserve">No HUF publication has undergone formal review. Every claim is untested by independent scientific scrutiny.</t>
  </si>
  <si>
    <t xml:space="preserve">Coimbra IS the first peer review. But a pre-submission to a CoDa-friendly reviewer would reduce risk.</t>
  </si>
  <si>
    <t xml:space="preserve">Z-03</t>
  </si>
  <si>
    <t xml:space="preserve">Coherence residuals computed</t>
  </si>
  <si>
    <t xml:space="preserve">The third diagnostic — the entire bridge to n=3, the Ramsar early warning, the Egozcue-Greenacre test — exists only as text.</t>
  </si>
  <si>
    <t xml:space="preserve">Compute CR on EMBER data TODAY. If it produces meaningful results, the concept is validated. If it produces noise, rewrite THE_THIRD_DIAGNOSTIC.md.</t>
  </si>
  <si>
    <t xml:space="preserve">IMMEDIATE</t>
  </si>
  <si>
    <t xml:space="preserve">Z-04</t>
  </si>
  <si>
    <t xml:space="preserve">Independence formally tested</t>
  </si>
  <si>
    <t xml:space="preserve">The 3^n framework claims three independent diagnostics. Independence has not been measured on any data.</t>
  </si>
  <si>
    <t xml:space="preserve">Compute pairwise correlation of TV, Aitchison, CR on EMBER. Report the meta-Q-parameter. If correlated, downgrade n claims.</t>
  </si>
  <si>
    <t xml:space="preserve">Z-05</t>
  </si>
  <si>
    <t xml:space="preserve">Domains validated</t>
  </si>
  <si>
    <t xml:space="preserve">1 (EMBER)</t>
  </si>
  <si>
    <t xml:space="preserve">One domain = n=1. Cross-domain is the only path to Level 1 on CMSI. Backblaze data is sitting in the folder.</t>
  </si>
  <si>
    <t xml:space="preserve">Run HUF diagnostics on Backblaze TODAY. If events are detected at known drive model transitions, cross-domain is demonstrated.</t>
  </si>
  <si>
    <t xml:space="preserve">Z-06</t>
  </si>
  <si>
    <t xml:space="preserve">Ecological datasets processed</t>
  </si>
  <si>
    <t xml:space="preserve">DEMO_DATASET_ECOLOGICAL.csv is engineered, not real. No real wetland data has ever been processed by HUF.</t>
  </si>
  <si>
    <t xml:space="preserve">Source one real Ramsar dataset (even publicly available RSIS data) and run the diagnostics. Any result is better than zero.</t>
  </si>
  <si>
    <t xml:space="preserve">BEFORE COIMBRA</t>
  </si>
  <si>
    <t xml:space="preserve">Z-07</t>
  </si>
  <si>
    <t xml:space="preserve">CMSI validated against reality</t>
  </si>
  <si>
    <t xml:space="preserve">The levels (0-4) are defined by analogy, not empirically. We do not know if crossing CMSI 2 feels like a qualitative transition.</t>
  </si>
  <si>
    <t xml:space="preserve">Complete the Backblaze proof-of-concept. If crossing from CMSI 1.68 to 2.80 produces qualitatively different results, the levels may be meaningful.</t>
  </si>
  <si>
    <t xml:space="preserve">AFTER BACKBLAZE</t>
  </si>
  <si>
    <t xml:space="preserve">SUMMARY COUNTS</t>
  </si>
  <si>
    <t xml:space="preserve">Metric</t>
  </si>
  <si>
    <t xml:space="preserve">Detail</t>
  </si>
  <si>
    <t xml:space="preserve">Assessment</t>
  </si>
  <si>
    <t xml:space="preserve">Category</t>
  </si>
  <si>
    <t xml:space="preserve">Error sources documented</t>
  </si>
  <si>
    <t xml:space="preserve">E-01–E-17, ES-01–ES-06, E-18/E-19 future</t>
  </si>
  <si>
    <t xml:space="preserve">Known, governed</t>
  </si>
  <si>
    <t xml:space="preserve">Catalogue strength</t>
  </si>
  <si>
    <t xml:space="preserve">Deployment gaps identified</t>
  </si>
  <si>
    <t xml:space="preserve">3 CRITICAL, 3 SERIOUS, 4 MODERATE</t>
  </si>
  <si>
    <t xml:space="preserve">Declared, unresolved</t>
  </si>
  <si>
    <t xml:space="preserve">Ramsar blockers</t>
  </si>
  <si>
    <t xml:space="preserve">Known unknowns declared</t>
  </si>
  <si>
    <t xml:space="preserve">KU-01–KU-08</t>
  </si>
  <si>
    <t xml:space="preserve">Foundational gaps</t>
  </si>
  <si>
    <t xml:space="preserve">Honest assessment</t>
  </si>
  <si>
    <t xml:space="preserve">Doubts acknowledged</t>
  </si>
  <si>
    <t xml:space="preserve">D-01–D-05</t>
  </si>
  <si>
    <t xml:space="preserve">Judgment calls</t>
  </si>
  <si>
    <t xml:space="preserve">Strategic risks</t>
  </si>
  <si>
    <t xml:space="preserve">Things that genuinely work</t>
  </si>
  <si>
    <t xml:space="preserve">W-01–W-05</t>
  </si>
  <si>
    <t xml:space="preserve">Confirmed strengths</t>
  </si>
  <si>
    <t xml:space="preserve">Foundation to build on</t>
  </si>
  <si>
    <t xml:space="preserve">Things critically missing</t>
  </si>
  <si>
    <t xml:space="preserve">M-01–M-05</t>
  </si>
  <si>
    <t xml:space="preserve">4 CRITICAL, 1 SERIOUS</t>
  </si>
  <si>
    <t xml:space="preserve">Must resolve</t>
  </si>
  <si>
    <t xml:space="preserve">Things that might be wrong</t>
  </si>
  <si>
    <t xml:space="preserve">X-01–X-05</t>
  </si>
  <si>
    <t xml:space="preserve">Foundational / structural</t>
  </si>
  <si>
    <t xml:space="preserve">Could invalidate</t>
  </si>
  <si>
    <t xml:space="preserve">Critical zeros</t>
  </si>
  <si>
    <t xml:space="preserve">Z-01–Z-07</t>
  </si>
  <si>
    <t xml:space="preserve">2 URGENT, 3 IMMEDIATE, 2 PRE-COIMBRA</t>
  </si>
  <si>
    <t xml:space="preserve">Action items NOW</t>
  </si>
  <si>
    <t xml:space="preserve">TOTAL documented concerns</t>
  </si>
  <si>
    <t xml:space="preserve">Empirical validations completed</t>
  </si>
  <si>
    <t xml:space="preserve">EMBER only</t>
  </si>
  <si>
    <t xml:space="preserve">INSUFFICIENT</t>
  </si>
  <si>
    <t xml:space="preserve">Need 3+ domains</t>
  </si>
  <si>
    <t xml:space="preserve">Current CMSI</t>
  </si>
  <si>
    <t xml:space="preserve">Level 0 — Proof of Concept</t>
  </si>
  <si>
    <t xml:space="preserve">48 GDoF</t>
  </si>
  <si>
    <t xml:space="preserve">Target CMSI</t>
  </si>
  <si>
    <t xml:space="preserve">Level 3 — Global Governance</t>
  </si>
  <si>
    <t xml:space="preserve">5,970,632 GDoF</t>
  </si>
  <si>
    <t xml:space="preserve">Gap</t>
  </si>
  <si>
    <t xml:space="preserve">orders of magnitude</t>
  </si>
  <si>
    <t xml:space="preserve">× increase</t>
  </si>
  <si>
    <t xml:space="preserve">THE GEOMETRIC EXPANSION — From Point to Universal Polytope Network</t>
  </si>
  <si>
    <t xml:space="preserve">Stage</t>
  </si>
  <si>
    <t xml:space="preserve">Name</t>
  </si>
  <si>
    <t xml:space="preserve">Geometry</t>
  </si>
  <si>
    <t xml:space="preserve">HUF Example</t>
  </si>
  <si>
    <t xml:space="preserve">Carriers</t>
  </si>
  <si>
    <t xml:space="preserve">CMSI</t>
  </si>
  <si>
    <t xml:space="preserve">What It Adds</t>
  </si>
  <si>
    <t xml:space="preserve">NASA Analogue</t>
  </si>
  <si>
    <t xml:space="preserve">1</t>
  </si>
  <si>
    <t xml:space="preserve">Point</t>
  </si>
  <si>
    <t xml:space="preserve">Single value</t>
  </si>
  <si>
    <t xml:space="preserve">One measurement</t>
  </si>
  <si>
    <t xml:space="preserve">≈ 0</t>
  </si>
  <si>
    <t xml:space="preserve">Nothing. A thermometer. No structure, no governance.</t>
  </si>
  <si>
    <t xml:space="preserve">Single sensor</t>
  </si>
  <si>
    <t xml:space="preserve">2</t>
  </si>
  <si>
    <t xml:space="preserve">Line</t>
  </si>
  <si>
    <t xml:space="preserve">Paired values</t>
  </si>
  <si>
    <t xml:space="preserve">TV + Aitchison</t>
  </si>
  <si>
    <t xml:space="preserve">1 + dual metric</t>
  </si>
  <si>
    <t xml:space="preserve">≈ 0.3</t>
  </si>
  <si>
    <t xml:space="preserve">The paired-measurement doctrine. Agreement or disagreement along one axis. The screwdriver.</t>
  </si>
  <si>
    <t xml:space="preserve">Redundant sensor pair</t>
  </si>
  <si>
    <t xml:space="preserve">3</t>
  </si>
  <si>
    <t xml:space="preserve">Triangle (S²)</t>
  </si>
  <si>
    <t xml:space="preserve">Ternary simplex</t>
  </si>
  <si>
    <t xml:space="preserve">3-way crossover</t>
  </si>
  <si>
    <t xml:space="preserve">≈ 0.8</t>
  </si>
  <si>
    <t xml:space="preserve">First true simplex. Barycenter = isotropic ground state. CoDa's teaching tool. Intuition lives here.</t>
  </si>
  <si>
    <t xml:space="preserve">Three-axis gyroscope</t>
  </si>
  <si>
    <t xml:space="preserve">4</t>
  </si>
  <si>
    <t xml:space="preserve">Tetrahedron (S³)</t>
  </si>
  <si>
    <t xml:space="preserve">4-carrier simplex</t>
  </si>
  <si>
    <t xml:space="preserve">BTL loudspeaker
1→2→4 chain</t>
  </si>
  <si>
    <t xml:space="preserve">≈ 1.0</t>
  </si>
  <si>
    <t xml:space="preserve">Governance appears. SBP has 3 binary balances. Must choose inspection order. GOV/CLS fork born here.</t>
  </si>
  <si>
    <t xml:space="preserve">Apollo CM systems</t>
  </si>
  <si>
    <t xml:space="preserve">5</t>
  </si>
  <si>
    <t xml:space="preserve">Polytope (Sⁿ⁻¹)</t>
  </si>
  <si>
    <t xml:space="preserve">n-carrier simplex</t>
  </si>
  <si>
    <t xml:space="preserve">EMBER (9 carriers)
3 countries</t>
  </si>
  <si>
    <t xml:space="preserve">9</t>
  </si>
  <si>
    <t xml:space="preserve">1.68</t>
  </si>
  <si>
    <t xml:space="preserve">Can no longer draw it. Must compute. Telescoping coherence. CoDa math becomes non-optional.</t>
  </si>
  <si>
    <t xml:space="preserve">Saturn V integration</t>
  </si>
  <si>
    <t xml:space="preserve">6</t>
  </si>
  <si>
    <t xml:space="preserve">Polytope Network</t>
  </si>
  <si>
    <t xml:space="preserve">Multiple connected polytopes</t>
  </si>
  <si>
    <t xml:space="preserve">Ramsar
2,500 wetlands</t>
  </si>
  <si>
    <t xml:space="preserve">200 avg per site</t>
  </si>
  <si>
    <t xml:space="preserve">6.78</t>
  </si>
  <si>
    <t xml:space="preserve">Cross-site coupling. Q-inquisitor between sites. Shared climate/hydrology/migration as coupling boundaries.</t>
  </si>
  <si>
    <t xml:space="preserve">Apollo mission network
(~5.6M interfaces)</t>
  </si>
  <si>
    <t xml:space="preserve">7</t>
  </si>
  <si>
    <t xml:space="preserve">Universal Polytope Network</t>
  </si>
  <si>
    <t xml:space="preserve">All compositional domains</t>
  </si>
  <si>
    <t xml:space="preserve">Ecology + Energy
+ Finance + Industry
+ Health + Climate</t>
  </si>
  <si>
    <t xml:space="preserve">All domains</t>
  </si>
  <si>
    <t xml:space="preserve">7.03 → 8.0+</t>
  </si>
  <si>
    <t xml:space="preserve">Cross-domain coupling. Kardashev V. Monitor everything that sums to a whole, everywhere it exists.</t>
  </si>
  <si>
    <t xml:space="preserve">Planetary governance</t>
  </si>
  <si>
    <t xml:space="preserve">KEY INSIGHT: Each stage decomposes into the same binary balance (1→2) that Stage 4 already handles. The architecture was designed at the tetrahedron and scales to the universal network without breaking — because every polytope is a forest of binary balances.</t>
  </si>
  <si>
    <t xml:space="preserve">NASA PRECEDENT: Apollo had ~5.6M parts. The physics was solved by the 1940s. What took until 1969 was systems engineering — making millions of interfaces cohere. Full Ramsar has ~6M GDoF. CoDa math exists since 1982. What does not exist is the governance. Same problem. Same order of magnitude. Different simplex.</t>
  </si>
  <si>
    <t xml:space="preserve">ACTION PRIORITY MATRIX — What To Do Before Coimbra</t>
  </si>
  <si>
    <t xml:space="preserve">"Self-awareness is not resolution." — Every zero below is a resolution waiting to happen.</t>
  </si>
  <si>
    <t xml:space="preserve">Action</t>
  </si>
  <si>
    <t xml:space="preserve">Timeline</t>
  </si>
  <si>
    <t xml:space="preserve">Resolves</t>
  </si>
  <si>
    <t xml:space="preserve">What Success Looks Like</t>
  </si>
  <si>
    <t xml:space="preserve">A-01</t>
  </si>
  <si>
    <t xml:space="preserve">Compute coherence residual on EMBER</t>
  </si>
  <si>
    <t xml:space="preserve">TODAY</t>
  </si>
  <si>
    <t xml:space="preserve">Z-03, M-02</t>
  </si>
  <si>
    <t xml:space="preserve">CR values for Germany 2000-2025. Four agreement patterns tested against known events (Fukushima, nuclear exit, coal collapse). Either the patterns match predictions or we rewrite THE_THIRD_DIAGNOSTIC.md.</t>
  </si>
  <si>
    <t xml:space="preserve">NOT STARTED</t>
  </si>
  <si>
    <t xml:space="preserve">A-02</t>
  </si>
  <si>
    <t xml:space="preserve">Run HUF diagnostics on Backblaze</t>
  </si>
  <si>
    <t xml:space="preserve">THIS WEEK</t>
  </si>
  <si>
    <t xml:space="preserve">Z-05, M-01</t>
  </si>
  <si>
    <t xml:space="preserve">TV + Aitchison on disk failure compositions. Events detected at known drive model transitions. Cross-domain validation demonstrated. CMSI crosses 2.0.</t>
  </si>
  <si>
    <t xml:space="preserve">DATA AVAILABLE</t>
  </si>
  <si>
    <t xml:space="preserve">A-03</t>
  </si>
  <si>
    <t xml:space="preserve">Test diagnostic independence on EMBER</t>
  </si>
  <si>
    <t xml:space="preserve">Z-04, M-03</t>
  </si>
  <si>
    <t xml:space="preserve">Pairwise correlation matrix for TV, Aitchison, CR. If r &lt; 0.3, independence is supported. If r &gt; 0.7, the 3^n framework needs revision. Report the meta-Q-parameter.</t>
  </si>
  <si>
    <t xml:space="preserve">A-04</t>
  </si>
  <si>
    <t xml:space="preserve">Source one real Ramsar dataset</t>
  </si>
  <si>
    <t xml:space="preserve">Any real wetland composition data. Even RSIS publicly available summaries. Process it. Report what happens. Any result &gt; zero results.</t>
  </si>
  <si>
    <t xml:space="preserve">A-05</t>
  </si>
  <si>
    <t xml:space="preserve">Contact one ecologist for review</t>
  </si>
  <si>
    <t xml:space="preserve">Z-01, M-04</t>
  </si>
  <si>
    <t xml:space="preserve">One 30-minute conversation with a wetland ecologist. Show WHAT_HUF_IS.md and RAMSAR_COMPLEXITY_GAP.md. Record their reaction. Adjust framing if needed.</t>
  </si>
  <si>
    <t xml:space="preserve">A-06</t>
  </si>
  <si>
    <t xml:space="preserve">Rename analyzer to CoDa Calibration Demonstrator</t>
  </si>
  <si>
    <t xml:space="preserve">Pending item</t>
  </si>
  <si>
    <t xml:space="preserve">Update HTML title. Signal calibration-study posture from the tool itself.</t>
  </si>
  <si>
    <t xml:space="preserve">NOTED, NOT DONE</t>
  </si>
  <si>
    <t xml:space="preserve">A-07</t>
  </si>
  <si>
    <t xml:space="preserve">Validate CMSI against Backblaze step change</t>
  </si>
  <si>
    <t xml:space="preserve">AFTER A-02</t>
  </si>
  <si>
    <t xml:space="preserve">Z-07, M-05</t>
  </si>
  <si>
    <t xml:space="preserve">With Backblaze results in hand, assess: does CMSI 2.80 feel qualitatively different from CMSI 1.68? If yes, levels may be meaningful. If no, recalibrate.</t>
  </si>
  <si>
    <t xml:space="preserve">BLOCKED ON A-02</t>
  </si>
  <si>
    <t xml:space="preserve">A-08</t>
  </si>
  <si>
    <t xml:space="preserve">Prepare "what went wrong" appendix</t>
  </si>
  <si>
    <t xml:space="preserve">DAY BEFORE COIMBRA</t>
  </si>
  <si>
    <t xml:space="preserve">Strategic</t>
  </si>
  <si>
    <t xml:space="preserve">A one-page document listing every zero, every miss, every doubt. Hand it out. Let the room see the dirty laundry before they ask for it.</t>
  </si>
  <si>
    <t xml:space="preserve">GOVERNANCE_DECLARATION.md exists</t>
  </si>
  <si>
    <t xml:space="preserve">BOTTOM LINE: Three actions (A-01, A-02, A-03) can be done THIS WEEK with data already available. They convert three critical zeros into real numbers. If the numbers are good, Coimbra is a different conversation. If the numbers are bad, we know before the room does.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</si>
</sst>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06600"/>
      <name val="Arial"/>
      <family val="0"/>
      <charset val="1"/>
    </font>
    <font>
      <b val="true"/>
      <sz val="11"/>
      <color rgb="FFCC0000"/>
      <name val="Arial"/>
      <family val="0"/>
      <charset val="1"/>
    </font>
    <font>
      <b val="true"/>
      <sz val="11"/>
      <color rgb="FFCC66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CC0000"/>
      <name val="Arial"/>
      <family val="0"/>
      <charset val="1"/>
    </font>
    <font>
      <b val="true"/>
      <i val="true"/>
      <sz val="11"/>
      <color rgb="FF1F4E79"/>
      <name val="Arial"/>
      <family val="0"/>
      <charset val="1"/>
    </font>
    <font>
      <b val="true"/>
      <sz val="16"/>
      <color rgb="FFCC0000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006600"/>
        <bgColor rgb="FF003300"/>
      </patternFill>
    </fill>
    <fill>
      <patternFill patternType="solid">
        <fgColor rgb="FF4472C4"/>
        <bgColor rgb="FF666666"/>
      </patternFill>
    </fill>
    <fill>
      <patternFill patternType="solid">
        <fgColor rgb="FFD9F2D9"/>
        <bgColor rgb="FFD9E8FF"/>
      </patternFill>
    </fill>
    <fill>
      <patternFill patternType="solid">
        <fgColor rgb="FFCC0000"/>
        <bgColor rgb="FF800000"/>
      </patternFill>
    </fill>
    <fill>
      <patternFill patternType="solid">
        <fgColor rgb="FFCC3333"/>
        <bgColor rgb="FF993300"/>
      </patternFill>
    </fill>
    <fill>
      <patternFill patternType="solid">
        <fgColor rgb="FFFFD9D9"/>
        <bgColor rgb="FFFFE8CC"/>
      </patternFill>
    </fill>
    <fill>
      <patternFill patternType="solid">
        <fgColor rgb="FFCC6600"/>
        <bgColor rgb="FFE68A00"/>
      </patternFill>
    </fill>
    <fill>
      <patternFill patternType="solid">
        <fgColor rgb="FFE68A00"/>
        <bgColor rgb="FFCC6600"/>
      </patternFill>
    </fill>
    <fill>
      <patternFill patternType="solid">
        <fgColor rgb="FFFFE8CC"/>
        <bgColor rgb="FFFFD9D9"/>
      </patternFill>
    </fill>
    <fill>
      <patternFill patternType="solid">
        <fgColor rgb="FF2D2D2D"/>
        <bgColor rgb="FF444444"/>
      </patternFill>
    </fill>
    <fill>
      <patternFill patternType="solid">
        <fgColor rgb="FF444444"/>
        <bgColor rgb="FF2D2D2D"/>
      </patternFill>
    </fill>
    <fill>
      <patternFill patternType="solid">
        <fgColor rgb="FF1F4E79"/>
        <bgColor rgb="FF003366"/>
      </patternFill>
    </fill>
    <fill>
      <patternFill patternType="solid">
        <fgColor rgb="FFD9E8FF"/>
        <bgColor rgb="FFD9F2D9"/>
      </patternFill>
    </fill>
    <fill>
      <patternFill patternType="solid">
        <fgColor rgb="FFB3D1FF"/>
        <bgColor rgb="FFC0C0C0"/>
      </patternFill>
    </fill>
    <fill>
      <patternFill patternType="solid">
        <fgColor rgb="FF8CB8E8"/>
        <bgColor rgb="FF9999FF"/>
      </patternFill>
    </fill>
    <fill>
      <patternFill patternType="solid">
        <fgColor rgb="FFFFFFF0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11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1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1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1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1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1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0C0C0"/>
      <rgbColor rgb="FF808080"/>
      <rgbColor rgb="FF9999FF"/>
      <rgbColor rgb="FFCC3333"/>
      <rgbColor rgb="FFFFFFF0"/>
      <rgbColor rgb="FFD9E8FF"/>
      <rgbColor rgb="FF660066"/>
      <rgbColor rgb="FFFF8080"/>
      <rgbColor rgb="FF0066CC"/>
      <rgbColor rgb="FFB3D1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9"/>
      <rgbColor rgb="FFFFE8CC"/>
      <rgbColor rgb="FF8CB8E8"/>
      <rgbColor rgb="FFFF99CC"/>
      <rgbColor rgb="FFCC99FF"/>
      <rgbColor rgb="FFFFD9D9"/>
      <rgbColor rgb="FF4472C4"/>
      <rgbColor rgb="FF33CCCC"/>
      <rgbColor rgb="FF99CC00"/>
      <rgbColor rgb="FFFFCC00"/>
      <rgbColor rgb="FFE68A00"/>
      <rgbColor rgb="FFCC6600"/>
      <rgbColor rgb="FF666666"/>
      <rgbColor rgb="FF969696"/>
      <rgbColor rgb="FF003366"/>
      <rgbColor rgb="FF339966"/>
      <rgbColor rgb="FF003300"/>
      <rgbColor rgb="FF444444"/>
      <rgbColor rgb="FF993300"/>
      <rgbColor rgb="FF993366"/>
      <rgbColor rgb="FF1F4E79"/>
      <rgbColor rgb="FF2D2D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F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5"/>
    <col collapsed="false" customWidth="true" hidden="false" outlineLevel="0" max="3" min="3" style="0" width="18"/>
    <col collapsed="false" customWidth="true" hidden="false" outlineLevel="0" max="5" min="4" style="0" width="50"/>
    <col collapsed="false" customWidth="true" hidden="false" outlineLevel="0" max="6" min="6" style="0" width="2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customFormat="false" ht="64.9" hidden="false" customHeight="false" outlineLevel="0" collapsed="false">
      <c r="A6" s="5" t="s">
        <v>9</v>
      </c>
      <c r="B6" s="6" t="s">
        <v>10</v>
      </c>
      <c r="C6" s="6" t="s">
        <v>11</v>
      </c>
      <c r="D6" s="6" t="s">
        <v>12</v>
      </c>
      <c r="E6" s="6" t="s">
        <v>13</v>
      </c>
      <c r="F6" s="7" t="s">
        <v>14</v>
      </c>
    </row>
    <row r="7" customFormat="false" ht="52.2" hidden="false" customHeight="false" outlineLevel="0" collapsed="false">
      <c r="A7" s="5" t="s">
        <v>15</v>
      </c>
      <c r="B7" s="6" t="s">
        <v>16</v>
      </c>
      <c r="C7" s="6" t="s">
        <v>11</v>
      </c>
      <c r="D7" s="6" t="s">
        <v>17</v>
      </c>
      <c r="E7" s="6" t="s">
        <v>18</v>
      </c>
      <c r="F7" s="7" t="s">
        <v>14</v>
      </c>
    </row>
    <row r="8" customFormat="false" ht="52.2" hidden="false" customHeight="false" outlineLevel="0" collapsed="false">
      <c r="A8" s="5" t="s">
        <v>19</v>
      </c>
      <c r="B8" s="6" t="s">
        <v>20</v>
      </c>
      <c r="C8" s="6" t="s">
        <v>11</v>
      </c>
      <c r="D8" s="6" t="s">
        <v>21</v>
      </c>
      <c r="E8" s="6" t="s">
        <v>22</v>
      </c>
      <c r="F8" s="7" t="s">
        <v>14</v>
      </c>
    </row>
    <row r="9" customFormat="false" ht="52.2" hidden="false" customHeight="false" outlineLevel="0" collapsed="false">
      <c r="A9" s="5" t="s">
        <v>23</v>
      </c>
      <c r="B9" s="6" t="s">
        <v>24</v>
      </c>
      <c r="C9" s="6" t="s">
        <v>11</v>
      </c>
      <c r="D9" s="6" t="s">
        <v>25</v>
      </c>
      <c r="E9" s="6" t="s">
        <v>26</v>
      </c>
      <c r="F9" s="7" t="s">
        <v>14</v>
      </c>
    </row>
    <row r="10" customFormat="false" ht="39.55" hidden="false" customHeight="false" outlineLevel="0" collapsed="false">
      <c r="A10" s="5" t="s">
        <v>27</v>
      </c>
      <c r="B10" s="6" t="s">
        <v>28</v>
      </c>
      <c r="C10" s="6" t="s">
        <v>11</v>
      </c>
      <c r="D10" s="6" t="s">
        <v>29</v>
      </c>
      <c r="E10" s="6" t="s">
        <v>30</v>
      </c>
      <c r="F10" s="7" t="s">
        <v>31</v>
      </c>
    </row>
    <row r="12" customFormat="false" ht="15" hidden="false" customHeight="false" outlineLevel="0" collapsed="false">
      <c r="A12" s="8" t="s">
        <v>32</v>
      </c>
      <c r="B12" s="8"/>
      <c r="C12" s="8"/>
      <c r="D12" s="8"/>
      <c r="E12" s="8"/>
      <c r="F12" s="8"/>
    </row>
    <row r="13" customFormat="false" ht="15" hidden="false" customHeight="false" outlineLevel="0" collapsed="false">
      <c r="A13" s="9" t="s">
        <v>3</v>
      </c>
      <c r="B13" s="9" t="s">
        <v>4</v>
      </c>
      <c r="C13" s="9" t="s">
        <v>5</v>
      </c>
      <c r="D13" s="9" t="s">
        <v>6</v>
      </c>
      <c r="E13" s="9" t="s">
        <v>7</v>
      </c>
      <c r="F13" s="9" t="s">
        <v>8</v>
      </c>
    </row>
    <row r="14" customFormat="false" ht="52.2" hidden="false" customHeight="false" outlineLevel="0" collapsed="false">
      <c r="A14" s="10" t="s">
        <v>33</v>
      </c>
      <c r="B14" s="11" t="s">
        <v>34</v>
      </c>
      <c r="C14" s="11" t="s">
        <v>35</v>
      </c>
      <c r="D14" s="11" t="s">
        <v>36</v>
      </c>
      <c r="E14" s="11" t="s">
        <v>37</v>
      </c>
      <c r="F14" s="12" t="s">
        <v>38</v>
      </c>
    </row>
    <row r="15" customFormat="false" ht="64.9" hidden="false" customHeight="false" outlineLevel="0" collapsed="false">
      <c r="A15" s="10" t="s">
        <v>39</v>
      </c>
      <c r="B15" s="11" t="s">
        <v>40</v>
      </c>
      <c r="C15" s="11" t="s">
        <v>35</v>
      </c>
      <c r="D15" s="11" t="s">
        <v>41</v>
      </c>
      <c r="E15" s="11" t="s">
        <v>42</v>
      </c>
      <c r="F15" s="12" t="s">
        <v>43</v>
      </c>
    </row>
    <row r="16" customFormat="false" ht="64.9" hidden="false" customHeight="false" outlineLevel="0" collapsed="false">
      <c r="A16" s="10" t="s">
        <v>44</v>
      </c>
      <c r="B16" s="11" t="s">
        <v>45</v>
      </c>
      <c r="C16" s="11" t="s">
        <v>35</v>
      </c>
      <c r="D16" s="11" t="s">
        <v>46</v>
      </c>
      <c r="E16" s="11" t="s">
        <v>47</v>
      </c>
      <c r="F16" s="12" t="s">
        <v>48</v>
      </c>
    </row>
    <row r="17" customFormat="false" ht="39.55" hidden="false" customHeight="false" outlineLevel="0" collapsed="false">
      <c r="A17" s="10" t="s">
        <v>49</v>
      </c>
      <c r="B17" s="11" t="s">
        <v>50</v>
      </c>
      <c r="C17" s="11" t="s">
        <v>35</v>
      </c>
      <c r="D17" s="11" t="s">
        <v>51</v>
      </c>
      <c r="E17" s="11" t="s">
        <v>52</v>
      </c>
      <c r="F17" s="12" t="s">
        <v>53</v>
      </c>
    </row>
    <row r="18" customFormat="false" ht="52.2" hidden="false" customHeight="false" outlineLevel="0" collapsed="false">
      <c r="A18" s="10" t="s">
        <v>54</v>
      </c>
      <c r="B18" s="11" t="s">
        <v>55</v>
      </c>
      <c r="C18" s="11" t="s">
        <v>56</v>
      </c>
      <c r="D18" s="11" t="s">
        <v>57</v>
      </c>
      <c r="E18" s="11" t="s">
        <v>58</v>
      </c>
      <c r="F18" s="12" t="s">
        <v>59</v>
      </c>
    </row>
    <row r="20" customFormat="false" ht="15" hidden="false" customHeight="false" outlineLevel="0" collapsed="false">
      <c r="A20" s="13" t="s">
        <v>60</v>
      </c>
      <c r="B20" s="13"/>
      <c r="C20" s="13"/>
      <c r="D20" s="13"/>
      <c r="E20" s="13"/>
      <c r="F20" s="13"/>
    </row>
    <row r="21" customFormat="false" ht="15" hidden="false" customHeight="false" outlineLevel="0" collapsed="false">
      <c r="A21" s="14" t="s">
        <v>3</v>
      </c>
      <c r="B21" s="14" t="s">
        <v>4</v>
      </c>
      <c r="C21" s="14" t="s">
        <v>5</v>
      </c>
      <c r="D21" s="14" t="s">
        <v>6</v>
      </c>
      <c r="E21" s="14" t="s">
        <v>7</v>
      </c>
      <c r="F21" s="14" t="s">
        <v>8</v>
      </c>
    </row>
    <row r="22" customFormat="false" ht="52.2" hidden="false" customHeight="false" outlineLevel="0" collapsed="false">
      <c r="A22" s="15" t="s">
        <v>61</v>
      </c>
      <c r="B22" s="16" t="s">
        <v>62</v>
      </c>
      <c r="C22" s="16" t="s">
        <v>63</v>
      </c>
      <c r="D22" s="16" t="s">
        <v>64</v>
      </c>
      <c r="E22" s="16" t="s">
        <v>65</v>
      </c>
      <c r="F22" s="17" t="s">
        <v>66</v>
      </c>
    </row>
    <row r="23" customFormat="false" ht="52.2" hidden="false" customHeight="false" outlineLevel="0" collapsed="false">
      <c r="A23" s="15" t="s">
        <v>67</v>
      </c>
      <c r="B23" s="16" t="s">
        <v>68</v>
      </c>
      <c r="C23" s="16" t="s">
        <v>69</v>
      </c>
      <c r="D23" s="16" t="s">
        <v>70</v>
      </c>
      <c r="E23" s="16" t="s">
        <v>71</v>
      </c>
      <c r="F23" s="17" t="s">
        <v>66</v>
      </c>
    </row>
    <row r="24" customFormat="false" ht="64.9" hidden="false" customHeight="false" outlineLevel="0" collapsed="false">
      <c r="A24" s="15" t="s">
        <v>72</v>
      </c>
      <c r="B24" s="16" t="s">
        <v>73</v>
      </c>
      <c r="C24" s="16" t="s">
        <v>69</v>
      </c>
      <c r="D24" s="16" t="s">
        <v>74</v>
      </c>
      <c r="E24" s="16" t="s">
        <v>75</v>
      </c>
      <c r="F24" s="17" t="s">
        <v>66</v>
      </c>
    </row>
    <row r="25" customFormat="false" ht="64.9" hidden="false" customHeight="false" outlineLevel="0" collapsed="false">
      <c r="A25" s="15" t="s">
        <v>76</v>
      </c>
      <c r="B25" s="16" t="s">
        <v>77</v>
      </c>
      <c r="C25" s="16" t="s">
        <v>78</v>
      </c>
      <c r="D25" s="16" t="s">
        <v>79</v>
      </c>
      <c r="E25" s="16" t="s">
        <v>80</v>
      </c>
      <c r="F25" s="17" t="s">
        <v>81</v>
      </c>
    </row>
    <row r="26" customFormat="false" ht="52.2" hidden="false" customHeight="false" outlineLevel="0" collapsed="false">
      <c r="A26" s="15" t="s">
        <v>82</v>
      </c>
      <c r="B26" s="16" t="s">
        <v>83</v>
      </c>
      <c r="C26" s="16" t="s">
        <v>84</v>
      </c>
      <c r="D26" s="16" t="s">
        <v>85</v>
      </c>
      <c r="E26" s="16" t="s">
        <v>86</v>
      </c>
      <c r="F26" s="17" t="s">
        <v>59</v>
      </c>
    </row>
    <row r="28" customFormat="false" ht="15" hidden="false" customHeight="false" outlineLevel="0" collapsed="false">
      <c r="A28" s="18" t="s">
        <v>87</v>
      </c>
      <c r="B28" s="18"/>
      <c r="C28" s="18"/>
      <c r="D28" s="18"/>
      <c r="E28" s="18"/>
      <c r="F28" s="18"/>
    </row>
    <row r="29" customFormat="false" ht="15" hidden="false" customHeight="false" outlineLevel="0" collapsed="false">
      <c r="A29" s="19" t="s">
        <v>3</v>
      </c>
      <c r="B29" s="19" t="s">
        <v>88</v>
      </c>
      <c r="C29" s="19" t="s">
        <v>89</v>
      </c>
      <c r="D29" s="19" t="s">
        <v>90</v>
      </c>
      <c r="E29" s="19" t="s">
        <v>91</v>
      </c>
      <c r="F29" s="19" t="s">
        <v>92</v>
      </c>
    </row>
    <row r="30" customFormat="false" ht="39.55" hidden="false" customHeight="false" outlineLevel="0" collapsed="false">
      <c r="A30" s="10" t="s">
        <v>93</v>
      </c>
      <c r="B30" s="11" t="s">
        <v>94</v>
      </c>
      <c r="C30" s="11" t="s">
        <v>95</v>
      </c>
      <c r="D30" s="11" t="s">
        <v>96</v>
      </c>
      <c r="E30" s="11" t="s">
        <v>97</v>
      </c>
      <c r="F30" s="12" t="s">
        <v>98</v>
      </c>
    </row>
    <row r="31" customFormat="false" ht="39.55" hidden="false" customHeight="false" outlineLevel="0" collapsed="false">
      <c r="A31" s="10" t="s">
        <v>99</v>
      </c>
      <c r="B31" s="11" t="s">
        <v>100</v>
      </c>
      <c r="C31" s="11" t="s">
        <v>95</v>
      </c>
      <c r="D31" s="11" t="s">
        <v>101</v>
      </c>
      <c r="E31" s="11" t="s">
        <v>102</v>
      </c>
      <c r="F31" s="12" t="s">
        <v>98</v>
      </c>
    </row>
    <row r="32" customFormat="false" ht="52.2" hidden="false" customHeight="false" outlineLevel="0" collapsed="false">
      <c r="A32" s="10" t="s">
        <v>103</v>
      </c>
      <c r="B32" s="11" t="s">
        <v>104</v>
      </c>
      <c r="C32" s="11" t="s">
        <v>95</v>
      </c>
      <c r="D32" s="11" t="s">
        <v>105</v>
      </c>
      <c r="E32" s="11" t="s">
        <v>106</v>
      </c>
      <c r="F32" s="12" t="s">
        <v>107</v>
      </c>
    </row>
    <row r="33" customFormat="false" ht="39.55" hidden="false" customHeight="false" outlineLevel="0" collapsed="false">
      <c r="A33" s="10" t="s">
        <v>108</v>
      </c>
      <c r="B33" s="11" t="s">
        <v>109</v>
      </c>
      <c r="C33" s="11" t="s">
        <v>95</v>
      </c>
      <c r="D33" s="11" t="s">
        <v>110</v>
      </c>
      <c r="E33" s="11" t="s">
        <v>111</v>
      </c>
      <c r="F33" s="12" t="s">
        <v>107</v>
      </c>
    </row>
    <row r="34" customFormat="false" ht="39.55" hidden="false" customHeight="false" outlineLevel="0" collapsed="false">
      <c r="A34" s="10" t="s">
        <v>112</v>
      </c>
      <c r="B34" s="11" t="s">
        <v>113</v>
      </c>
      <c r="C34" s="11" t="s">
        <v>114</v>
      </c>
      <c r="D34" s="11" t="s">
        <v>115</v>
      </c>
      <c r="E34" s="11" t="s">
        <v>116</v>
      </c>
      <c r="F34" s="12" t="s">
        <v>107</v>
      </c>
    </row>
    <row r="35" customFormat="false" ht="39.55" hidden="false" customHeight="false" outlineLevel="0" collapsed="false">
      <c r="A35" s="15" t="s">
        <v>117</v>
      </c>
      <c r="B35" s="16" t="s">
        <v>118</v>
      </c>
      <c r="C35" s="16" t="s">
        <v>95</v>
      </c>
      <c r="D35" s="16" t="s">
        <v>119</v>
      </c>
      <c r="E35" s="16" t="s">
        <v>120</v>
      </c>
      <c r="F35" s="16" t="s">
        <v>121</v>
      </c>
    </row>
    <row r="36" customFormat="false" ht="39.55" hidden="false" customHeight="false" outlineLevel="0" collapsed="false">
      <c r="A36" s="15" t="s">
        <v>122</v>
      </c>
      <c r="B36" s="16" t="s">
        <v>123</v>
      </c>
      <c r="C36" s="16" t="s">
        <v>95</v>
      </c>
      <c r="D36" s="16" t="s">
        <v>124</v>
      </c>
      <c r="E36" s="16" t="s">
        <v>125</v>
      </c>
      <c r="F36" s="16" t="s">
        <v>126</v>
      </c>
    </row>
    <row r="38" customFormat="false" ht="15" hidden="false" customHeight="false" outlineLevel="0" collapsed="false">
      <c r="A38" s="20" t="s">
        <v>127</v>
      </c>
      <c r="B38" s="20"/>
      <c r="C38" s="20"/>
      <c r="D38" s="20"/>
      <c r="E38" s="20"/>
      <c r="F38" s="20"/>
    </row>
    <row r="39" customFormat="false" ht="15" hidden="false" customHeight="false" outlineLevel="0" collapsed="false">
      <c r="A39" s="4" t="s">
        <v>128</v>
      </c>
      <c r="B39" s="4" t="s">
        <v>89</v>
      </c>
      <c r="C39" s="4" t="s">
        <v>129</v>
      </c>
      <c r="D39" s="4" t="s">
        <v>130</v>
      </c>
      <c r="E39" s="4" t="s">
        <v>131</v>
      </c>
    </row>
    <row r="40" customFormat="false" ht="39.55" hidden="false" customHeight="false" outlineLevel="0" collapsed="false">
      <c r="A40" s="21" t="s">
        <v>132</v>
      </c>
      <c r="B40" s="22" t="n">
        <v>25</v>
      </c>
      <c r="C40" s="22" t="s">
        <v>133</v>
      </c>
      <c r="D40" s="22" t="s">
        <v>134</v>
      </c>
      <c r="E40" s="22" t="s">
        <v>135</v>
      </c>
    </row>
    <row r="41" customFormat="false" ht="39.55" hidden="false" customHeight="false" outlineLevel="0" collapsed="false">
      <c r="A41" s="21" t="s">
        <v>136</v>
      </c>
      <c r="B41" s="22" t="n">
        <v>10</v>
      </c>
      <c r="C41" s="22" t="s">
        <v>137</v>
      </c>
      <c r="D41" s="22" t="s">
        <v>138</v>
      </c>
      <c r="E41" s="22" t="s">
        <v>139</v>
      </c>
    </row>
    <row r="42" customFormat="false" ht="15" hidden="false" customHeight="false" outlineLevel="0" collapsed="false">
      <c r="A42" s="21" t="s">
        <v>140</v>
      </c>
      <c r="B42" s="22" t="n">
        <v>8</v>
      </c>
      <c r="C42" s="22" t="s">
        <v>141</v>
      </c>
      <c r="D42" s="22" t="s">
        <v>142</v>
      </c>
      <c r="E42" s="22" t="s">
        <v>143</v>
      </c>
    </row>
    <row r="43" customFormat="false" ht="15" hidden="false" customHeight="false" outlineLevel="0" collapsed="false">
      <c r="A43" s="21" t="s">
        <v>144</v>
      </c>
      <c r="B43" s="22" t="n">
        <v>5</v>
      </c>
      <c r="C43" s="22" t="s">
        <v>145</v>
      </c>
      <c r="D43" s="22" t="s">
        <v>146</v>
      </c>
      <c r="E43" s="22" t="s">
        <v>147</v>
      </c>
    </row>
    <row r="44" customFormat="false" ht="15" hidden="false" customHeight="false" outlineLevel="0" collapsed="false">
      <c r="A44" s="21" t="s">
        <v>148</v>
      </c>
      <c r="B44" s="22" t="n">
        <v>5</v>
      </c>
      <c r="C44" s="22" t="s">
        <v>149</v>
      </c>
      <c r="D44" s="22" t="s">
        <v>150</v>
      </c>
      <c r="E44" s="22" t="s">
        <v>151</v>
      </c>
    </row>
    <row r="45" customFormat="false" ht="15" hidden="false" customHeight="false" outlineLevel="0" collapsed="false">
      <c r="A45" s="21" t="s">
        <v>152</v>
      </c>
      <c r="B45" s="22" t="n">
        <v>5</v>
      </c>
      <c r="C45" s="22" t="s">
        <v>153</v>
      </c>
      <c r="D45" s="22" t="s">
        <v>154</v>
      </c>
      <c r="E45" s="22" t="s">
        <v>155</v>
      </c>
    </row>
    <row r="46" customFormat="false" ht="15" hidden="false" customHeight="false" outlineLevel="0" collapsed="false">
      <c r="A46" s="21" t="s">
        <v>156</v>
      </c>
      <c r="B46" s="22" t="n">
        <v>5</v>
      </c>
      <c r="C46" s="22" t="s">
        <v>157</v>
      </c>
      <c r="D46" s="22" t="s">
        <v>158</v>
      </c>
      <c r="E46" s="22" t="s">
        <v>159</v>
      </c>
    </row>
    <row r="47" customFormat="false" ht="15" hidden="false" customHeight="false" outlineLevel="0" collapsed="false">
      <c r="A47" s="23" t="s">
        <v>160</v>
      </c>
      <c r="B47" s="24" t="n">
        <v>7</v>
      </c>
      <c r="C47" s="22" t="s">
        <v>161</v>
      </c>
      <c r="D47" s="22" t="s">
        <v>162</v>
      </c>
      <c r="E47" s="22" t="s">
        <v>163</v>
      </c>
    </row>
    <row r="48" customFormat="false" ht="15" hidden="false" customHeight="false" outlineLevel="0" collapsed="false">
      <c r="A48" s="21" t="s">
        <v>164</v>
      </c>
      <c r="B48" s="22" t="n">
        <f aca="false">SUM(B39:B46)</f>
        <v>63</v>
      </c>
      <c r="C48" s="22"/>
      <c r="D48" s="22"/>
      <c r="E48" s="22"/>
    </row>
    <row r="49" customFormat="false" ht="15" hidden="false" customHeight="false" outlineLevel="0" collapsed="false">
      <c r="A49" s="21" t="s">
        <v>165</v>
      </c>
      <c r="B49" s="22" t="n">
        <v>1</v>
      </c>
      <c r="C49" s="22" t="s">
        <v>166</v>
      </c>
      <c r="D49" s="22" t="s">
        <v>167</v>
      </c>
      <c r="E49" s="22" t="s">
        <v>168</v>
      </c>
    </row>
    <row r="50" customFormat="false" ht="26.85" hidden="false" customHeight="false" outlineLevel="0" collapsed="false">
      <c r="A50" s="21" t="s">
        <v>169</v>
      </c>
      <c r="B50" s="22" t="n">
        <v>1.68</v>
      </c>
      <c r="C50" s="22" t="s">
        <v>170</v>
      </c>
      <c r="D50" s="22" t="s">
        <v>171</v>
      </c>
      <c r="E50" s="22"/>
    </row>
    <row r="51" customFormat="false" ht="26.85" hidden="false" customHeight="false" outlineLevel="0" collapsed="false">
      <c r="A51" s="21" t="s">
        <v>172</v>
      </c>
      <c r="B51" s="22" t="n">
        <v>6.78</v>
      </c>
      <c r="C51" s="22" t="s">
        <v>173</v>
      </c>
      <c r="D51" s="22" t="s">
        <v>174</v>
      </c>
      <c r="E51" s="22"/>
    </row>
    <row r="52" customFormat="false" ht="26.85" hidden="false" customHeight="false" outlineLevel="0" collapsed="false">
      <c r="A52" s="21" t="s">
        <v>175</v>
      </c>
      <c r="B52" s="22" t="n">
        <f aca="false">B50-B49</f>
        <v>0.68</v>
      </c>
      <c r="C52" s="22" t="s">
        <v>176</v>
      </c>
      <c r="D52" s="22" t="n">
        <f aca="false">10^(B50-B49)</f>
        <v>4.78630092322638</v>
      </c>
      <c r="E52" s="22" t="s">
        <v>177</v>
      </c>
    </row>
  </sheetData>
  <mergeCells count="7">
    <mergeCell ref="A1:F1"/>
    <mergeCell ref="A2:F2"/>
    <mergeCell ref="A4:F4"/>
    <mergeCell ref="A12:F12"/>
    <mergeCell ref="A20:F20"/>
    <mergeCell ref="A28:F28"/>
    <mergeCell ref="A38:F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4" min="3" style="0" width="20"/>
    <col collapsed="false" customWidth="true" hidden="false" outlineLevel="0" max="6" min="5" style="0" width="18"/>
    <col collapsed="false" customWidth="true" hidden="false" outlineLevel="0" max="7" min="7" style="0" width="45"/>
    <col collapsed="false" customWidth="true" hidden="false" outlineLevel="0" max="8" min="8" style="0" width="15"/>
  </cols>
  <sheetData>
    <row r="1" customFormat="false" ht="19.7" hidden="false" customHeight="false" outlineLevel="0" collapsed="false">
      <c r="A1" s="1" t="s">
        <v>178</v>
      </c>
      <c r="B1" s="1"/>
      <c r="C1" s="1"/>
      <c r="D1" s="1"/>
      <c r="E1" s="1"/>
      <c r="F1" s="1"/>
      <c r="G1" s="1"/>
      <c r="H1" s="1"/>
    </row>
    <row r="3" customFormat="false" ht="26.85" hidden="false" customHeight="false" outlineLevel="0" collapsed="false">
      <c r="A3" s="25" t="s">
        <v>179</v>
      </c>
      <c r="B3" s="25" t="s">
        <v>180</v>
      </c>
      <c r="C3" s="25" t="s">
        <v>181</v>
      </c>
      <c r="D3" s="25" t="s">
        <v>182</v>
      </c>
      <c r="E3" s="25" t="s">
        <v>183</v>
      </c>
      <c r="F3" s="25" t="s">
        <v>184</v>
      </c>
      <c r="G3" s="25" t="s">
        <v>185</v>
      </c>
      <c r="H3" s="25" t="s">
        <v>186</v>
      </c>
    </row>
    <row r="4" customFormat="false" ht="26.85" hidden="false" customHeight="false" outlineLevel="0" collapsed="false">
      <c r="A4" s="26" t="s">
        <v>187</v>
      </c>
      <c r="B4" s="27" t="s">
        <v>188</v>
      </c>
      <c r="C4" s="27" t="s">
        <v>189</v>
      </c>
      <c r="D4" s="27" t="s">
        <v>190</v>
      </c>
      <c r="E4" s="27" t="s">
        <v>187</v>
      </c>
      <c r="F4" s="27" t="s">
        <v>191</v>
      </c>
      <c r="G4" s="27" t="s">
        <v>192</v>
      </c>
      <c r="H4" s="27" t="s">
        <v>193</v>
      </c>
    </row>
    <row r="5" customFormat="false" ht="39.55" hidden="false" customHeight="false" outlineLevel="0" collapsed="false">
      <c r="A5" s="26" t="s">
        <v>194</v>
      </c>
      <c r="B5" s="27" t="s">
        <v>195</v>
      </c>
      <c r="C5" s="27" t="s">
        <v>196</v>
      </c>
      <c r="D5" s="27" t="s">
        <v>197</v>
      </c>
      <c r="E5" s="27" t="s">
        <v>198</v>
      </c>
      <c r="F5" s="27" t="s">
        <v>199</v>
      </c>
      <c r="G5" s="27" t="s">
        <v>200</v>
      </c>
      <c r="H5" s="27" t="s">
        <v>201</v>
      </c>
    </row>
    <row r="6" customFormat="false" ht="26.85" hidden="false" customHeight="false" outlineLevel="0" collapsed="false">
      <c r="A6" s="26" t="s">
        <v>202</v>
      </c>
      <c r="B6" s="27" t="s">
        <v>203</v>
      </c>
      <c r="C6" s="27" t="s">
        <v>204</v>
      </c>
      <c r="D6" s="27" t="s">
        <v>205</v>
      </c>
      <c r="E6" s="27" t="s">
        <v>202</v>
      </c>
      <c r="F6" s="27" t="s">
        <v>206</v>
      </c>
      <c r="G6" s="27" t="s">
        <v>207</v>
      </c>
      <c r="H6" s="27" t="s">
        <v>208</v>
      </c>
    </row>
    <row r="7" customFormat="false" ht="39.55" hidden="false" customHeight="false" outlineLevel="0" collapsed="false">
      <c r="A7" s="26" t="s">
        <v>209</v>
      </c>
      <c r="B7" s="27" t="s">
        <v>210</v>
      </c>
      <c r="C7" s="27" t="s">
        <v>211</v>
      </c>
      <c r="D7" s="27" t="s">
        <v>212</v>
      </c>
      <c r="E7" s="27" t="s">
        <v>209</v>
      </c>
      <c r="F7" s="27" t="s">
        <v>213</v>
      </c>
      <c r="G7" s="27" t="s">
        <v>214</v>
      </c>
      <c r="H7" s="27" t="s">
        <v>215</v>
      </c>
    </row>
    <row r="8" customFormat="false" ht="39.55" hidden="false" customHeight="false" outlineLevel="0" collapsed="false">
      <c r="A8" s="28" t="s">
        <v>216</v>
      </c>
      <c r="B8" s="29" t="s">
        <v>217</v>
      </c>
      <c r="C8" s="29" t="s">
        <v>218</v>
      </c>
      <c r="D8" s="29" t="s">
        <v>219</v>
      </c>
      <c r="E8" s="29" t="s">
        <v>220</v>
      </c>
      <c r="F8" s="29" t="s">
        <v>221</v>
      </c>
      <c r="G8" s="29" t="s">
        <v>222</v>
      </c>
      <c r="H8" s="29" t="s">
        <v>223</v>
      </c>
    </row>
    <row r="9" customFormat="false" ht="52.2" hidden="false" customHeight="false" outlineLevel="0" collapsed="false">
      <c r="A9" s="28" t="s">
        <v>224</v>
      </c>
      <c r="B9" s="29" t="s">
        <v>225</v>
      </c>
      <c r="C9" s="29" t="s">
        <v>226</v>
      </c>
      <c r="D9" s="29" t="s">
        <v>227</v>
      </c>
      <c r="E9" s="29" t="s">
        <v>228</v>
      </c>
      <c r="F9" s="29" t="s">
        <v>229</v>
      </c>
      <c r="G9" s="29" t="s">
        <v>230</v>
      </c>
      <c r="H9" s="29" t="s">
        <v>231</v>
      </c>
    </row>
    <row r="10" customFormat="false" ht="39.55" hidden="false" customHeight="false" outlineLevel="0" collapsed="false">
      <c r="A10" s="30" t="s">
        <v>232</v>
      </c>
      <c r="B10" s="31" t="s">
        <v>233</v>
      </c>
      <c r="C10" s="31" t="s">
        <v>234</v>
      </c>
      <c r="D10" s="31" t="s">
        <v>235</v>
      </c>
      <c r="E10" s="31" t="s">
        <v>236</v>
      </c>
      <c r="F10" s="31" t="s">
        <v>237</v>
      </c>
      <c r="G10" s="31" t="s">
        <v>238</v>
      </c>
      <c r="H10" s="31" t="s">
        <v>239</v>
      </c>
    </row>
    <row r="12" customFormat="false" ht="26.85" hidden="false" customHeight="true" outlineLevel="0" collapsed="false">
      <c r="A12" s="32" t="s">
        <v>240</v>
      </c>
      <c r="B12" s="32"/>
      <c r="C12" s="32"/>
      <c r="D12" s="32"/>
      <c r="E12" s="32"/>
      <c r="F12" s="32"/>
      <c r="G12" s="32"/>
      <c r="H12" s="32"/>
    </row>
    <row r="14" customFormat="false" ht="49.5" hidden="false" customHeight="true" outlineLevel="0" collapsed="false">
      <c r="A14" s="33" t="s">
        <v>241</v>
      </c>
      <c r="B14" s="33"/>
      <c r="C14" s="33"/>
      <c r="D14" s="33"/>
      <c r="E14" s="33"/>
      <c r="F14" s="33"/>
      <c r="G14" s="33"/>
      <c r="H14" s="33"/>
    </row>
  </sheetData>
  <mergeCells count="3">
    <mergeCell ref="A1:H1"/>
    <mergeCell ref="A12:H12"/>
    <mergeCell ref="A14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C0000"/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5"/>
    <col collapsed="false" customWidth="true" hidden="false" outlineLevel="0" max="4" min="3" style="0" width="15"/>
    <col collapsed="false" customWidth="true" hidden="false" outlineLevel="0" max="5" min="5" style="0" width="50"/>
    <col collapsed="false" customWidth="true" hidden="false" outlineLevel="0" max="6" min="6" style="0" width="25"/>
  </cols>
  <sheetData>
    <row r="1" customFormat="false" ht="19.7" hidden="false" customHeight="false" outlineLevel="0" collapsed="false">
      <c r="A1" s="34" t="s">
        <v>242</v>
      </c>
      <c r="B1" s="34"/>
      <c r="C1" s="34"/>
      <c r="D1" s="34"/>
      <c r="E1" s="34"/>
      <c r="F1" s="34"/>
    </row>
    <row r="2" customFormat="false" ht="15" hidden="false" customHeight="false" outlineLevel="0" collapsed="false">
      <c r="A2" s="2" t="s">
        <v>243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5" t="s">
        <v>3</v>
      </c>
      <c r="B4" s="35" t="s">
        <v>244</v>
      </c>
      <c r="C4" s="35" t="s">
        <v>245</v>
      </c>
      <c r="D4" s="35" t="s">
        <v>246</v>
      </c>
      <c r="E4" s="35" t="s">
        <v>247</v>
      </c>
      <c r="F4" s="35" t="s">
        <v>5</v>
      </c>
    </row>
    <row r="5" customFormat="false" ht="64.9" hidden="false" customHeight="false" outlineLevel="0" collapsed="false">
      <c r="A5" s="10" t="s">
        <v>248</v>
      </c>
      <c r="B5" s="11" t="s">
        <v>249</v>
      </c>
      <c r="C5" s="11" t="s">
        <v>250</v>
      </c>
      <c r="D5" s="11" t="s">
        <v>251</v>
      </c>
      <c r="E5" s="11" t="s">
        <v>252</v>
      </c>
      <c r="F5" s="12" t="s">
        <v>253</v>
      </c>
    </row>
    <row r="6" customFormat="false" ht="39.55" hidden="false" customHeight="false" outlineLevel="0" collapsed="false">
      <c r="A6" s="15" t="s">
        <v>254</v>
      </c>
      <c r="B6" s="16" t="s">
        <v>255</v>
      </c>
      <c r="C6" s="16" t="s">
        <v>256</v>
      </c>
      <c r="D6" s="16" t="s">
        <v>257</v>
      </c>
      <c r="E6" s="16" t="s">
        <v>258</v>
      </c>
      <c r="F6" s="16" t="s">
        <v>259</v>
      </c>
    </row>
    <row r="7" customFormat="false" ht="52.2" hidden="false" customHeight="false" outlineLevel="0" collapsed="false">
      <c r="A7" s="15" t="s">
        <v>260</v>
      </c>
      <c r="B7" s="16" t="s">
        <v>261</v>
      </c>
      <c r="C7" s="16" t="s">
        <v>256</v>
      </c>
      <c r="D7" s="16" t="s">
        <v>262</v>
      </c>
      <c r="E7" s="16" t="s">
        <v>263</v>
      </c>
      <c r="F7" s="36" t="s">
        <v>253</v>
      </c>
    </row>
    <row r="8" customFormat="false" ht="39.55" hidden="false" customHeight="false" outlineLevel="0" collapsed="false">
      <c r="A8" s="37" t="s">
        <v>264</v>
      </c>
      <c r="B8" s="38" t="s">
        <v>265</v>
      </c>
      <c r="C8" s="38" t="s">
        <v>121</v>
      </c>
      <c r="D8" s="38" t="s">
        <v>117</v>
      </c>
      <c r="E8" s="38" t="s">
        <v>266</v>
      </c>
      <c r="F8" s="39" t="s">
        <v>253</v>
      </c>
    </row>
    <row r="9" customFormat="false" ht="52.2" hidden="false" customHeight="false" outlineLevel="0" collapsed="false">
      <c r="A9" s="37" t="s">
        <v>267</v>
      </c>
      <c r="B9" s="38" t="s">
        <v>268</v>
      </c>
      <c r="C9" s="38" t="s">
        <v>121</v>
      </c>
      <c r="D9" s="38" t="s">
        <v>269</v>
      </c>
      <c r="E9" s="38" t="s">
        <v>270</v>
      </c>
      <c r="F9" s="39" t="s">
        <v>253</v>
      </c>
    </row>
    <row r="10" customFormat="false" ht="26.85" hidden="false" customHeight="false" outlineLevel="0" collapsed="false">
      <c r="A10" s="37" t="s">
        <v>271</v>
      </c>
      <c r="B10" s="38" t="s">
        <v>272</v>
      </c>
      <c r="C10" s="38" t="s">
        <v>121</v>
      </c>
      <c r="D10" s="38" t="s">
        <v>273</v>
      </c>
      <c r="E10" s="38" t="s">
        <v>274</v>
      </c>
      <c r="F10" s="38" t="s">
        <v>275</v>
      </c>
    </row>
    <row r="11" customFormat="false" ht="39.55" hidden="false" customHeight="false" outlineLevel="0" collapsed="false">
      <c r="A11" s="37" t="s">
        <v>276</v>
      </c>
      <c r="B11" s="38" t="s">
        <v>277</v>
      </c>
      <c r="C11" s="38" t="s">
        <v>278</v>
      </c>
      <c r="D11" s="38" t="s">
        <v>279</v>
      </c>
      <c r="E11" s="38" t="s">
        <v>280</v>
      </c>
      <c r="F11" s="38" t="s">
        <v>281</v>
      </c>
    </row>
    <row r="12" customFormat="false" ht="39.55" hidden="false" customHeight="false" outlineLevel="0" collapsed="false">
      <c r="A12" s="37" t="s">
        <v>282</v>
      </c>
      <c r="B12" s="38" t="s">
        <v>283</v>
      </c>
      <c r="C12" s="38" t="s">
        <v>284</v>
      </c>
      <c r="D12" s="38" t="s">
        <v>285</v>
      </c>
      <c r="E12" s="38" t="s">
        <v>286</v>
      </c>
      <c r="F12" s="38" t="s">
        <v>287</v>
      </c>
    </row>
    <row r="14" customFormat="false" ht="49.5" hidden="false" customHeight="true" outlineLevel="0" collapsed="false">
      <c r="A14" s="40" t="s">
        <v>288</v>
      </c>
      <c r="B14" s="40"/>
      <c r="C14" s="40"/>
      <c r="D14" s="40"/>
      <c r="E14" s="40"/>
      <c r="F14" s="40"/>
    </row>
  </sheetData>
  <mergeCells count="3">
    <mergeCell ref="A1:F1"/>
    <mergeCell ref="A2:F2"/>
    <mergeCell ref="A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2026-04-05T12:05:24Z</dcterms:created>
  <dc:creator>openpyxl</dc:creator>
  <dc:description/>
  <dc:language>en-US</dc:language>
  <cp:lastModifiedBy/>
  <dcterms:modified xsi:type="dcterms:W3CDTF">2026-04-05T12:05:24Z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